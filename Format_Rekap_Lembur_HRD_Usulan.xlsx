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Karyawan" sheetId="1" state="visible" r:id="rId3"/>
    <sheet name="Kalender Libur" sheetId="2" state="visible" r:id="rId4"/>
    <sheet name="Data Lembur (Detail)" sheetId="3" state="visible" r:id="rId5"/>
    <sheet name="Rekap Pendana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<sst xmlns="http://schemas.openxmlformats.org/spreadsheetml/2006/main" count="107" uniqueCount="68">
  <si>
    <t xml:space="preserve">MASTER DATA KARYAWAN &amp; GAJI POKOK</t>
  </si>
  <si>
    <t xml:space="preserve">Kolom kuning wajib diisi/di-update oleh HRD. Sheet lain akan menarik data gaji dari sini.</t>
  </si>
  <si>
    <t xml:space="preserve">ID Karyawan</t>
  </si>
  <si>
    <t xml:space="preserve">Nama Karyawan</t>
  </si>
  <si>
    <t xml:space="preserve">Jabatan</t>
  </si>
  <si>
    <t xml:space="preserve">Proyek</t>
  </si>
  <si>
    <t xml:space="preserve">Gaji Pokok / Bulan (Rp)</t>
  </si>
  <si>
    <t xml:space="preserve">EMP-001</t>
  </si>
  <si>
    <t xml:space="preserve">Ndaru Hutomo Putro</t>
  </si>
  <si>
    <t xml:space="preserve">Staff TKDN</t>
  </si>
  <si>
    <t xml:space="preserve">TKDN</t>
  </si>
  <si>
    <t xml:space="preserve">EMP-002</t>
  </si>
  <si>
    <t xml:space="preserve">Nabil Mufarrihah Octaviyani</t>
  </si>
  <si>
    <t xml:space="preserve">EMP-003</t>
  </si>
  <si>
    <t xml:space="preserve">Candra Adelia Mawarni</t>
  </si>
  <si>
    <t xml:space="preserve">EMP-004</t>
  </si>
  <si>
    <t xml:space="preserve">Budi Santoso</t>
  </si>
  <si>
    <t xml:space="preserve">Staff IT</t>
  </si>
  <si>
    <t xml:space="preserve">HRIS Migration</t>
  </si>
  <si>
    <t xml:space="preserve">EMP-005</t>
  </si>
  <si>
    <t xml:space="preserve">Siti Rahma</t>
  </si>
  <si>
    <t xml:space="preserve">KALENDER HARI LIBUR (Libur Nasional &amp; Cuti Bersama)</t>
  </si>
  <si>
    <t xml:space="preserve">Tambahkan tanggal libur nasional/cuti bersama tiap tahun. Dipakai otomatis oleh sheet Data Lembur untuk menentukan Normal/Libur. Sabtu-Minggu terhitung otomatis (tidak perlu diinput).</t>
  </si>
  <si>
    <t xml:space="preserve">Tanggal</t>
  </si>
  <si>
    <t xml:space="preserve">Keterangan</t>
  </si>
  <si>
    <t xml:space="preserve">Tahun Baru Masehi</t>
  </si>
  <si>
    <t xml:space="preserve">Hari Raya Nyepi</t>
  </si>
  <si>
    <t xml:space="preserve">Wafat Isa Almasih</t>
  </si>
  <si>
    <t xml:space="preserve">Hari Buruh</t>
  </si>
  <si>
    <t xml:space="preserve">REKAPITULASI LEMBUR &amp; PERHITUNGAN UPAH LEMBUR - DETAIL</t>
  </si>
  <si>
    <t xml:space="preserve">Kolom A-K = format asli HRD (Data Karyawan Lembur). Kolom L-R = tambahan otomatis untuk konversi ke Rupiah, dapat di-cross check per baris.</t>
  </si>
  <si>
    <t xml:space="preserve">No</t>
  </si>
  <si>
    <t xml:space="preserve">Kegiatan</t>
  </si>
  <si>
    <t xml:space="preserve">Tanggal Kegiatan</t>
  </si>
  <si>
    <t xml:space="preserve">Hari</t>
  </si>
  <si>
    <t xml:space="preserve">Jam Mulai</t>
  </si>
  <si>
    <t xml:space="preserve">Jam Berakhir</t>
  </si>
  <si>
    <t xml:space="preserve">Total Jam Lembur</t>
  </si>
  <si>
    <t xml:space="preserve">No. SPKL</t>
  </si>
  <si>
    <t xml:space="preserve">Status Approval</t>
  </si>
  <si>
    <t xml:space="preserve">Jenis Hari (Auto)</t>
  </si>
  <si>
    <t xml:space="preserve">Gaji Pokok/Bulan (Rp)</t>
  </si>
  <si>
    <t xml:space="preserve">% Lembur</t>
  </si>
  <si>
    <t xml:space="preserve">Upah Lembur (Rp)</t>
  </si>
  <si>
    <t xml:space="preserve">Rincian Perhitungan (Cross Check)</t>
  </si>
  <si>
    <t xml:space="preserve">Vertek Putera</t>
  </si>
  <si>
    <t xml:space="preserve">0373/SBA/16/TKDN/IV/26</t>
  </si>
  <si>
    <t xml:space="preserve">Sudah Di-review</t>
  </si>
  <si>
    <t xml:space="preserve">0374/SBA/16/TKDN/IV/26</t>
  </si>
  <si>
    <t xml:space="preserve">Meeting Project</t>
  </si>
  <si>
    <t xml:space="preserve">0390/SBA/16/TKDN/V/26</t>
  </si>
  <si>
    <t xml:space="preserve">Frontend deployment prep</t>
  </si>
  <si>
    <t xml:space="preserve">0410/SBA/16/HRIS/X/26</t>
  </si>
  <si>
    <t xml:space="preserve">Belum Di-review</t>
  </si>
  <si>
    <t xml:space="preserve">Emergency server maintenance</t>
  </si>
  <si>
    <t xml:space="preserve">0411/SBA/16/HRIS/V/26</t>
  </si>
  <si>
    <t xml:space="preserve">Vertek Subeen</t>
  </si>
  <si>
    <t xml:space="preserve">0380/SBA/16/TKDN/IV/26</t>
  </si>
  <si>
    <t xml:space="preserve">Canceled</t>
  </si>
  <si>
    <t xml:space="preserve">TOTAL UPAH LEMBUR (Status Sudah Di-review):</t>
  </si>
  <si>
    <t xml:space="preserve">REKAP TOTAL PENDANAAN LEMBUR (Output untuk HRD)</t>
  </si>
  <si>
    <t xml:space="preserve">Hanya menghitung data dengan Status = 'Sudah Di-review'. Sumber: sheet 'Data Lembur (Detail)'.</t>
  </si>
  <si>
    <t xml:space="preserve">Total Jam - Hari Normal</t>
  </si>
  <si>
    <t xml:space="preserve">Total Jam - Hari Libur</t>
  </si>
  <si>
    <t xml:space="preserve">Upah Lembur - Hari Normal (Rp)</t>
  </si>
  <si>
    <t xml:space="preserve">Upah Lembur - Hari Libur (Rp)</t>
  </si>
  <si>
    <t xml:space="preserve">TOTAL UPAH LEMBUR (Rp)</t>
  </si>
  <si>
    <t xml:space="preserve">GRAND TOTAL PENDANAAN LEMBUR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</si>
</sst>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dd/mm/yyyy"/>
    <numFmt numFmtId="167" formatCode="hh:mm"/>
    <numFmt numFmtId="168" formatCode="0.0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5" t="n">
        <v>6500000</v>
      </c>
    </row>
    <row r="6" customFormat="false" ht="15" hidden="false" customHeight="false" outlineLevel="0" collapsed="false">
      <c r="A6" s="4" t="s">
        <v>11</v>
      </c>
      <c r="B6" s="4" t="s">
        <v>12</v>
      </c>
      <c r="C6" s="4" t="s">
        <v>9</v>
      </c>
      <c r="D6" s="4" t="s">
        <v>10</v>
      </c>
      <c r="E6" s="5" t="n">
        <v>6200000</v>
      </c>
    </row>
    <row r="7" customFormat="false" ht="15" hidden="false" customHeight="false" outlineLevel="0" collapsed="false">
      <c r="A7" s="4" t="s">
        <v>13</v>
      </c>
      <c r="B7" s="4" t="s">
        <v>14</v>
      </c>
      <c r="C7" s="4" t="s">
        <v>9</v>
      </c>
      <c r="D7" s="4" t="s">
        <v>10</v>
      </c>
      <c r="E7" s="5" t="n">
        <v>5800000</v>
      </c>
    </row>
    <row r="8" customFormat="false" ht="15" hidden="false" customHeight="false" outlineLevel="0" collapsed="false">
      <c r="A8" s="4" t="s">
        <v>15</v>
      </c>
      <c r="B8" s="4" t="s">
        <v>16</v>
      </c>
      <c r="C8" s="4" t="s">
        <v>17</v>
      </c>
      <c r="D8" s="4" t="s">
        <v>18</v>
      </c>
      <c r="E8" s="5" t="n">
        <v>7200000</v>
      </c>
    </row>
    <row r="9" customFormat="false" ht="15" hidden="false" customHeight="false" outlineLevel="0" collapsed="false">
      <c r="A9" s="4" t="s">
        <v>19</v>
      </c>
      <c r="B9" s="4" t="s">
        <v>20</v>
      </c>
      <c r="C9" s="4" t="s">
        <v>17</v>
      </c>
      <c r="D9" s="4" t="s">
        <v>18</v>
      </c>
      <c r="E9" s="5" t="n">
        <v>6900000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</cols>
  <sheetData>
    <row r="1" customFormat="false" ht="16.15" hidden="false" customHeight="false" outlineLevel="0" collapsed="false">
      <c r="A1" s="1" t="s">
        <v>21</v>
      </c>
    </row>
    <row r="2" customFormat="false" ht="15" hidden="false" customHeight="false" outlineLevel="0" collapsed="false">
      <c r="A2" s="6" t="s">
        <v>22</v>
      </c>
      <c r="B2" s="6"/>
      <c r="C2" s="6"/>
    </row>
    <row r="4" customFormat="false" ht="15" hidden="false" customHeight="false" outlineLevel="0" collapsed="false">
      <c r="A4" s="3" t="s">
        <v>23</v>
      </c>
      <c r="B4" s="3" t="s">
        <v>24</v>
      </c>
    </row>
    <row r="5" customFormat="false" ht="15" hidden="false" customHeight="false" outlineLevel="0" collapsed="false">
      <c r="A5" s="7" t="n">
        <v>46023</v>
      </c>
      <c r="B5" s="8" t="s">
        <v>25</v>
      </c>
    </row>
    <row r="6" customFormat="false" ht="15" hidden="false" customHeight="false" outlineLevel="0" collapsed="false">
      <c r="A6" s="7" t="n">
        <v>46102</v>
      </c>
      <c r="B6" s="8" t="s">
        <v>26</v>
      </c>
    </row>
    <row r="7" customFormat="false" ht="15" hidden="false" customHeight="false" outlineLevel="0" collapsed="false">
      <c r="A7" s="7" t="n">
        <v>46132</v>
      </c>
      <c r="B7" s="8" t="s">
        <v>27</v>
      </c>
    </row>
    <row r="8" customFormat="false" ht="15" hidden="false" customHeight="false" outlineLevel="0" collapsed="false">
      <c r="A8" s="7" t="n">
        <v>46143</v>
      </c>
      <c r="B8" s="8" t="s">
        <v>28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9"/>
    <col collapsed="false" customWidth="true" hidden="false" outlineLevel="0" max="16" min="16" style="0" width="15"/>
    <col collapsed="false" customWidth="true" hidden="false" outlineLevel="0" max="17" min="17" style="0" width="42"/>
  </cols>
  <sheetData>
    <row r="1" customFormat="false" ht="16.15" hidden="false" customHeight="false" outlineLevel="0" collapsed="false">
      <c r="A1" s="1" t="s">
        <v>29</v>
      </c>
    </row>
    <row r="2" customFormat="false" ht="15" hidden="false" customHeight="false" outlineLevel="0" collapsed="false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customFormat="false" ht="39.55" hidden="false" customHeight="false" outlineLevel="0" collapsed="false">
      <c r="A4" s="3" t="s">
        <v>31</v>
      </c>
      <c r="B4" s="3" t="s">
        <v>3</v>
      </c>
      <c r="C4" s="3" t="s">
        <v>2</v>
      </c>
      <c r="D4" s="3" t="s">
        <v>5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</row>
    <row r="5" customFormat="false" ht="15" hidden="false" customHeight="false" outlineLevel="0" collapsed="false">
      <c r="A5" s="8" t="n">
        <v>1</v>
      </c>
      <c r="B5" s="8" t="s">
        <v>8</v>
      </c>
      <c r="C5" s="8" t="s">
        <v>7</v>
      </c>
      <c r="D5" s="8" t="s">
        <v>10</v>
      </c>
      <c r="E5" s="8" t="s">
        <v>45</v>
      </c>
      <c r="F5" s="9" t="n">
        <v>46140</v>
      </c>
      <c r="G5" s="8" t="str">
        <f aca="false">CHOOSE(WEEKDAY(F5,2),"Senin","Selasa","Rabu","Kamis","Jumat","Sabtu","Minggu")</f>
        <v>Selasa</v>
      </c>
      <c r="H5" s="10" t="n">
        <v>0.75</v>
      </c>
      <c r="I5" s="10" t="n">
        <v>0.875</v>
      </c>
      <c r="J5" s="11" t="n">
        <f aca="false">IF(I5&lt;H5,(I5-H5+1)*24,(I5-H5)*24)</f>
        <v>3</v>
      </c>
      <c r="K5" s="8" t="s">
        <v>46</v>
      </c>
      <c r="L5" s="8" t="s">
        <v>47</v>
      </c>
      <c r="M5" s="8" t="str">
        <f aca="false">IF(OR(WEEKDAY(F5,2)&gt;5,COUNTIF('Kalender Libur'!$A:$A,F5)&gt;0),"Libur","Normal")</f>
        <v>Normal</v>
      </c>
      <c r="N5" s="12" t="n">
        <f aca="false">INDEX('Master Karyawan'!$E:$E,MATCH(C5,'Master Karyawan'!$A:$A,0))</f>
        <v>6500000</v>
      </c>
      <c r="O5" s="13" t="n">
        <f aca="false">IF(M5="Libur",2%,1.5%)</f>
        <v>0.015</v>
      </c>
      <c r="P5" s="12" t="n">
        <f aca="false">IF(L5="Sudah Di-review",N5*O5*J5,0)</f>
        <v>292500</v>
      </c>
      <c r="Q5" s="14" t="str">
        <f aca="false">"Rp"&amp;TEXT(N5,"#,##0")&amp;" x "&amp;TEXT(O5,"0.0%")&amp;" x "&amp;TEXT(J5,"0.0")&amp;" jam = Rp"&amp;TEXT(P5,"#,##0")</f>
        <v>Rp6,500,000 x 1.5% x 3.0 jam = Rp292,500</v>
      </c>
    </row>
    <row r="6" customFormat="false" ht="15" hidden="false" customHeight="false" outlineLevel="0" collapsed="false">
      <c r="A6" s="8" t="n">
        <v>2</v>
      </c>
      <c r="B6" s="8" t="s">
        <v>12</v>
      </c>
      <c r="C6" s="8" t="s">
        <v>11</v>
      </c>
      <c r="D6" s="8" t="s">
        <v>10</v>
      </c>
      <c r="E6" s="8" t="s">
        <v>45</v>
      </c>
      <c r="F6" s="9" t="n">
        <v>46140</v>
      </c>
      <c r="G6" s="8" t="str">
        <f aca="false">CHOOSE(WEEKDAY(F6,2),"Senin","Selasa","Rabu","Kamis","Jumat","Sabtu","Minggu")</f>
        <v>Selasa</v>
      </c>
      <c r="H6" s="10" t="n">
        <v>0.75</v>
      </c>
      <c r="I6" s="10" t="n">
        <v>0.875</v>
      </c>
      <c r="J6" s="11" t="n">
        <f aca="false">IF(I6&lt;H6,(I6-H6+1)*24,(I6-H6)*24)</f>
        <v>3</v>
      </c>
      <c r="K6" s="8" t="s">
        <v>48</v>
      </c>
      <c r="L6" s="8" t="s">
        <v>47</v>
      </c>
      <c r="M6" s="8" t="str">
        <f aca="false">IF(OR(WEEKDAY(F6,2)&gt;5,COUNTIF('Kalender Libur'!$A:$A,F6)&gt;0),"Libur","Normal")</f>
        <v>Normal</v>
      </c>
      <c r="N6" s="12" t="n">
        <f aca="false">INDEX('Master Karyawan'!$E:$E,MATCH(C6,'Master Karyawan'!$A:$A,0))</f>
        <v>6200000</v>
      </c>
      <c r="O6" s="13" t="n">
        <f aca="false">IF(M6="Libur",2%,1.5%)</f>
        <v>0.015</v>
      </c>
      <c r="P6" s="12" t="n">
        <f aca="false">IF(L6="Sudah Di-review",N6*O6*J6,0)</f>
        <v>279000</v>
      </c>
      <c r="Q6" s="14" t="str">
        <f aca="false">"Rp"&amp;TEXT(N6,"#,##0")&amp;" x "&amp;TEXT(O6,"0.0%")&amp;" x "&amp;TEXT(J6,"0.0")&amp;" jam = Rp"&amp;TEXT(P6,"#,##0")</f>
        <v>Rp6,200,000 x 1.5% x 3.0 jam = Rp279,000</v>
      </c>
    </row>
    <row r="7" customFormat="false" ht="15" hidden="false" customHeight="false" outlineLevel="0" collapsed="false">
      <c r="A7" s="8" t="n">
        <v>3</v>
      </c>
      <c r="B7" s="8" t="s">
        <v>14</v>
      </c>
      <c r="C7" s="8" t="s">
        <v>13</v>
      </c>
      <c r="D7" s="8" t="s">
        <v>10</v>
      </c>
      <c r="E7" s="8" t="s">
        <v>49</v>
      </c>
      <c r="F7" s="9" t="n">
        <v>46145</v>
      </c>
      <c r="G7" s="8" t="str">
        <f aca="false">CHOOSE(WEEKDAY(F7,2),"Senin","Selasa","Rabu","Kamis","Jumat","Sabtu","Minggu")</f>
        <v>Minggu</v>
      </c>
      <c r="H7" s="10" t="n">
        <v>0.375</v>
      </c>
      <c r="I7" s="10" t="n">
        <v>0.541666666666667</v>
      </c>
      <c r="J7" s="11" t="n">
        <f aca="false">IF(I7&lt;H7,(I7-H7+1)*24,(I7-H7)*24)</f>
        <v>4</v>
      </c>
      <c r="K7" s="8" t="s">
        <v>50</v>
      </c>
      <c r="L7" s="8" t="s">
        <v>47</v>
      </c>
      <c r="M7" s="8" t="str">
        <f aca="false">IF(OR(WEEKDAY(F7,2)&gt;5,COUNTIF('Kalender Libur'!$A:$A,F7)&gt;0),"Libur","Normal")</f>
        <v>Libur</v>
      </c>
      <c r="N7" s="12" t="n">
        <f aca="false">INDEX('Master Karyawan'!$E:$E,MATCH(C7,'Master Karyawan'!$A:$A,0))</f>
        <v>5800000</v>
      </c>
      <c r="O7" s="13" t="n">
        <f aca="false">IF(M7="Libur",2%,1.5%)</f>
        <v>0.02</v>
      </c>
      <c r="P7" s="12" t="n">
        <f aca="false">IF(L7="Sudah Di-review",N7*O7*J7,0)</f>
        <v>464000</v>
      </c>
      <c r="Q7" s="14" t="str">
        <f aca="false">"Rp"&amp;TEXT(N7,"#,##0")&amp;" x "&amp;TEXT(O7,"0.0%")&amp;" x "&amp;TEXT(J7,"0.0")&amp;" jam = Rp"&amp;TEXT(P7,"#,##0")</f>
        <v>Rp5,800,000 x 2.0% x 4.0 jam = Rp464,000</v>
      </c>
    </row>
    <row r="8" customFormat="false" ht="15" hidden="false" customHeight="false" outlineLevel="0" collapsed="false">
      <c r="A8" s="8" t="n">
        <v>4</v>
      </c>
      <c r="B8" s="8" t="s">
        <v>16</v>
      </c>
      <c r="C8" s="8" t="s">
        <v>15</v>
      </c>
      <c r="D8" s="8" t="s">
        <v>18</v>
      </c>
      <c r="E8" s="8" t="s">
        <v>51</v>
      </c>
      <c r="F8" s="9" t="n">
        <v>46319</v>
      </c>
      <c r="G8" s="8" t="str">
        <f aca="false">CHOOSE(WEEKDAY(F8,2),"Senin","Selasa","Rabu","Kamis","Jumat","Sabtu","Minggu")</f>
        <v>Sabtu</v>
      </c>
      <c r="H8" s="10" t="n">
        <v>0.708333333333333</v>
      </c>
      <c r="I8" s="10" t="n">
        <v>0.895833333333333</v>
      </c>
      <c r="J8" s="11" t="n">
        <f aca="false">IF(I8&lt;H8,(I8-H8+1)*24,(I8-H8)*24)</f>
        <v>4.5</v>
      </c>
      <c r="K8" s="8" t="s">
        <v>52</v>
      </c>
      <c r="L8" s="8" t="s">
        <v>53</v>
      </c>
      <c r="M8" s="8" t="str">
        <f aca="false">IF(OR(WEEKDAY(F8,2)&gt;5,COUNTIF('Kalender Libur'!$A:$A,F8)&gt;0),"Libur","Normal")</f>
        <v>Libur</v>
      </c>
      <c r="N8" s="12" t="n">
        <f aca="false">INDEX('Master Karyawan'!$E:$E,MATCH(C8,'Master Karyawan'!$A:$A,0))</f>
        <v>7200000</v>
      </c>
      <c r="O8" s="13" t="n">
        <f aca="false">IF(M8="Libur",2%,1.5%)</f>
        <v>0.02</v>
      </c>
      <c r="P8" s="12" t="n">
        <f aca="false">IF(L8="Sudah Di-review",N8*O8*J8,0)</f>
        <v>0</v>
      </c>
      <c r="Q8" s="14" t="str">
        <f aca="false">"Rp"&amp;TEXT(N8,"#,##0")&amp;" x "&amp;TEXT(O8,"0.0%")&amp;" x "&amp;TEXT(J8,"0.0")&amp;" jam = Rp"&amp;TEXT(P8,"#,##0")</f>
        <v>Rp7,200,000 x 2.0% x 4.5 jam = Rp0</v>
      </c>
    </row>
    <row r="9" customFormat="false" ht="15" hidden="false" customHeight="false" outlineLevel="0" collapsed="false">
      <c r="A9" s="8" t="n">
        <v>5</v>
      </c>
      <c r="B9" s="8" t="s">
        <v>20</v>
      </c>
      <c r="C9" s="8" t="s">
        <v>19</v>
      </c>
      <c r="D9" s="8" t="s">
        <v>18</v>
      </c>
      <c r="E9" s="8" t="s">
        <v>54</v>
      </c>
      <c r="F9" s="9" t="n">
        <v>46143</v>
      </c>
      <c r="G9" s="8" t="str">
        <f aca="false">CHOOSE(WEEKDAY(F9,2),"Senin","Selasa","Rabu","Kamis","Jumat","Sabtu","Minggu")</f>
        <v>Jumat</v>
      </c>
      <c r="H9" s="10" t="n">
        <v>0.416666666666667</v>
      </c>
      <c r="I9" s="10" t="n">
        <v>0.635416666666667</v>
      </c>
      <c r="J9" s="11" t="n">
        <f aca="false">IF(I9&lt;H9,(I9-H9+1)*24,(I9-H9)*24)</f>
        <v>5.25</v>
      </c>
      <c r="K9" s="8" t="s">
        <v>55</v>
      </c>
      <c r="L9" s="8" t="s">
        <v>47</v>
      </c>
      <c r="M9" s="8" t="str">
        <f aca="false">IF(OR(WEEKDAY(F9,2)&gt;5,COUNTIF('Kalender Libur'!$A:$A,F9)&gt;0),"Libur","Normal")</f>
        <v>Libur</v>
      </c>
      <c r="N9" s="12" t="n">
        <f aca="false">INDEX('Master Karyawan'!$E:$E,MATCH(C9,'Master Karyawan'!$A:$A,0))</f>
        <v>6900000</v>
      </c>
      <c r="O9" s="13" t="n">
        <f aca="false">IF(M9="Libur",2%,1.5%)</f>
        <v>0.02</v>
      </c>
      <c r="P9" s="12" t="n">
        <f aca="false">IF(L9="Sudah Di-review",N9*O9*J9,0)</f>
        <v>724500</v>
      </c>
      <c r="Q9" s="14" t="str">
        <f aca="false">"Rp"&amp;TEXT(N9,"#,##0")&amp;" x "&amp;TEXT(O9,"0.0%")&amp;" x "&amp;TEXT(J9,"0.0")&amp;" jam = Rp"&amp;TEXT(P9,"#,##0")</f>
        <v>Rp6,900,000 x 2.0% x 5.3 jam = Rp724,500</v>
      </c>
    </row>
    <row r="10" customFormat="false" ht="15" hidden="false" customHeight="false" outlineLevel="0" collapsed="false">
      <c r="A10" s="8" t="n">
        <v>6</v>
      </c>
      <c r="B10" s="8" t="s">
        <v>8</v>
      </c>
      <c r="C10" s="8" t="s">
        <v>7</v>
      </c>
      <c r="D10" s="8" t="s">
        <v>10</v>
      </c>
      <c r="E10" s="8" t="s">
        <v>56</v>
      </c>
      <c r="F10" s="9" t="n">
        <v>46148</v>
      </c>
      <c r="G10" s="8" t="str">
        <f aca="false">CHOOSE(WEEKDAY(F10,2),"Senin","Selasa","Rabu","Kamis","Jumat","Sabtu","Minggu")</f>
        <v>Rabu</v>
      </c>
      <c r="H10" s="10" t="n">
        <v>0.75</v>
      </c>
      <c r="I10" s="10" t="n">
        <v>0.875</v>
      </c>
      <c r="J10" s="11" t="n">
        <f aca="false">IF(I10&lt;H10,(I10-H10+1)*24,(I10-H10)*24)</f>
        <v>3</v>
      </c>
      <c r="K10" s="8" t="s">
        <v>57</v>
      </c>
      <c r="L10" s="8" t="s">
        <v>58</v>
      </c>
      <c r="M10" s="8" t="str">
        <f aca="false">IF(OR(WEEKDAY(F10,2)&gt;5,COUNTIF('Kalender Libur'!$A:$A,F10)&gt;0),"Libur","Normal")</f>
        <v>Normal</v>
      </c>
      <c r="N10" s="12" t="n">
        <f aca="false">INDEX('Master Karyawan'!$E:$E,MATCH(C10,'Master Karyawan'!$A:$A,0))</f>
        <v>6500000</v>
      </c>
      <c r="O10" s="13" t="n">
        <f aca="false">IF(M10="Libur",2%,1.5%)</f>
        <v>0.015</v>
      </c>
      <c r="P10" s="12" t="n">
        <f aca="false">IF(L10="Sudah Di-review",N10*O10*J10,0)</f>
        <v>0</v>
      </c>
      <c r="Q10" s="14" t="str">
        <f aca="false">"Rp"&amp;TEXT(N10,"#,##0")&amp;" x "&amp;TEXT(O10,"0.0%")&amp;" x "&amp;TEXT(J10,"0.0")&amp;" jam = Rp"&amp;TEXT(P10,"#,##0")</f>
        <v>Rp6,500,000 x 1.5% x 3.0 jam = Rp0</v>
      </c>
    </row>
    <row r="12" customFormat="false" ht="15" hidden="false" customHeight="false" outlineLevel="0" collapsed="false">
      <c r="A12" s="15" t="s">
        <v>59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 t="n">
        <f aca="false">SUMIF(L5:L10,"Sudah Di-review",P5:P10)</f>
        <v>1760000</v>
      </c>
    </row>
  </sheetData>
  <mergeCells count="2">
    <mergeCell ref="A2:R2"/>
    <mergeCell ref="A12:O12"/>
  </mergeCells>
  <dataValidations count="1">
    <dataValidation allowBlank="true" errorStyle="stop" operator="between" showDropDown="false" showErrorMessage="false" showInputMessage="false" sqref="L5:L500" type="list">
      <formula1>"Belum Di-review,Sudah Di-review,Canceled"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8" min="7" style="0" width="20"/>
  </cols>
  <sheetData>
    <row r="1" customFormat="false" ht="16.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6" t="s">
        <v>61</v>
      </c>
      <c r="B2" s="6"/>
      <c r="C2" s="6"/>
      <c r="D2" s="6"/>
      <c r="E2" s="6"/>
      <c r="F2" s="6"/>
      <c r="G2" s="6"/>
      <c r="H2" s="6"/>
    </row>
    <row r="4" customFormat="false" ht="26.85" hidden="false" customHeight="false" outlineLevel="0" collapsed="false">
      <c r="A4" s="3" t="s">
        <v>31</v>
      </c>
      <c r="B4" s="3" t="s">
        <v>2</v>
      </c>
      <c r="C4" s="3" t="s">
        <v>3</v>
      </c>
      <c r="D4" s="3" t="s">
        <v>62</v>
      </c>
      <c r="E4" s="3" t="s">
        <v>63</v>
      </c>
      <c r="F4" s="3" t="s">
        <v>64</v>
      </c>
      <c r="G4" s="3" t="s">
        <v>65</v>
      </c>
      <c r="H4" s="3" t="s">
        <v>66</v>
      </c>
    </row>
    <row r="5" customFormat="false" ht="15" hidden="false" customHeight="false" outlineLevel="0" collapsed="false">
      <c r="A5" s="8" t="n">
        <v>1</v>
      </c>
      <c r="B5" s="8" t="s">
        <v>7</v>
      </c>
      <c r="C5" s="8" t="str">
        <f aca="false">INDEX('Master Karyawan'!$B:$B,MATCH(B5,'Master Karyawan'!$A:$A,0))</f>
        <v>Ndaru Hutomo Putro</v>
      </c>
      <c r="D5" s="11" t="n">
        <f aca="false">SUMIFS('Data Lembur (Detail)'!$J$5:$J$10,'Data Lembur (Detail)'!$C$5:$C$10,B5,'Data Lembur (Detail)'!$L$5:$L$10,"Sudah Di-review",'Data Lembur (Detail)'!$M$5:$M$10,"Normal")</f>
        <v>3</v>
      </c>
      <c r="E5" s="11" t="n">
        <f aca="false">SUMIFS('Data Lembur (Detail)'!$J$5:$J$10,'Data Lembur (Detail)'!$C$5:$C$10,B5,'Data Lembur (Detail)'!$L$5:$L$10,"Sudah Di-review",'Data Lembur (Detail)'!$M$5:$M$10,"Libur")</f>
        <v>0</v>
      </c>
      <c r="F5" s="12" t="n">
        <f aca="false">SUMIFS('Data Lembur (Detail)'!$P$5:$P$10,'Data Lembur (Detail)'!$C$5:$C$10,B5,'Data Lembur (Detail)'!$L$5:$L$10,"Sudah Di-review",'Data Lembur (Detail)'!$M$5:$M$10,"Normal")</f>
        <v>292500</v>
      </c>
      <c r="G5" s="12" t="n">
        <f aca="false">SUMIFS('Data Lembur (Detail)'!$P$5:$P$10,'Data Lembur (Detail)'!$C$5:$C$10,B5,'Data Lembur (Detail)'!$L$5:$L$10,"Sudah Di-review",'Data Lembur (Detail)'!$M$5:$M$10,"Libur")</f>
        <v>0</v>
      </c>
      <c r="H5" s="16" t="n">
        <f aca="false">F5+G5</f>
        <v>292500</v>
      </c>
    </row>
    <row r="6" customFormat="false" ht="15" hidden="false" customHeight="false" outlineLevel="0" collapsed="false">
      <c r="A6" s="8" t="n">
        <v>2</v>
      </c>
      <c r="B6" s="8" t="s">
        <v>11</v>
      </c>
      <c r="C6" s="8" t="str">
        <f aca="false">INDEX('Master Karyawan'!$B:$B,MATCH(B6,'Master Karyawan'!$A:$A,0))</f>
        <v>Nabil Mufarrihah Octaviyani</v>
      </c>
      <c r="D6" s="11" t="n">
        <f aca="false">SUMIFS('Data Lembur (Detail)'!$J$5:$J$10,'Data Lembur (Detail)'!$C$5:$C$10,B6,'Data Lembur (Detail)'!$L$5:$L$10,"Sudah Di-review",'Data Lembur (Detail)'!$M$5:$M$10,"Normal")</f>
        <v>3</v>
      </c>
      <c r="E6" s="11" t="n">
        <f aca="false">SUMIFS('Data Lembur (Detail)'!$J$5:$J$10,'Data Lembur (Detail)'!$C$5:$C$10,B6,'Data Lembur (Detail)'!$L$5:$L$10,"Sudah Di-review",'Data Lembur (Detail)'!$M$5:$M$10,"Libur")</f>
        <v>0</v>
      </c>
      <c r="F6" s="12" t="n">
        <f aca="false">SUMIFS('Data Lembur (Detail)'!$P$5:$P$10,'Data Lembur (Detail)'!$C$5:$C$10,B6,'Data Lembur (Detail)'!$L$5:$L$10,"Sudah Di-review",'Data Lembur (Detail)'!$M$5:$M$10,"Normal")</f>
        <v>279000</v>
      </c>
      <c r="G6" s="12" t="n">
        <f aca="false">SUMIFS('Data Lembur (Detail)'!$P$5:$P$10,'Data Lembur (Detail)'!$C$5:$C$10,B6,'Data Lembur (Detail)'!$L$5:$L$10,"Sudah Di-review",'Data Lembur (Detail)'!$M$5:$M$10,"Libur")</f>
        <v>0</v>
      </c>
      <c r="H6" s="16" t="n">
        <f aca="false">F6+G6</f>
        <v>279000</v>
      </c>
    </row>
    <row r="7" customFormat="false" ht="15" hidden="false" customHeight="false" outlineLevel="0" collapsed="false">
      <c r="A7" s="8" t="n">
        <v>3</v>
      </c>
      <c r="B7" s="8" t="s">
        <v>13</v>
      </c>
      <c r="C7" s="8" t="str">
        <f aca="false">INDEX('Master Karyawan'!$B:$B,MATCH(B7,'Master Karyawan'!$A:$A,0))</f>
        <v>Candra Adelia Mawarni</v>
      </c>
      <c r="D7" s="11" t="n">
        <f aca="false">SUMIFS('Data Lembur (Detail)'!$J$5:$J$10,'Data Lembur (Detail)'!$C$5:$C$10,B7,'Data Lembur (Detail)'!$L$5:$L$10,"Sudah Di-review",'Data Lembur (Detail)'!$M$5:$M$10,"Normal")</f>
        <v>0</v>
      </c>
      <c r="E7" s="11" t="n">
        <f aca="false">SUMIFS('Data Lembur (Detail)'!$J$5:$J$10,'Data Lembur (Detail)'!$C$5:$C$10,B7,'Data Lembur (Detail)'!$L$5:$L$10,"Sudah Di-review",'Data Lembur (Detail)'!$M$5:$M$10,"Libur")</f>
        <v>4</v>
      </c>
      <c r="F7" s="12" t="n">
        <f aca="false">SUMIFS('Data Lembur (Detail)'!$P$5:$P$10,'Data Lembur (Detail)'!$C$5:$C$10,B7,'Data Lembur (Detail)'!$L$5:$L$10,"Sudah Di-review",'Data Lembur (Detail)'!$M$5:$M$10,"Normal")</f>
        <v>0</v>
      </c>
      <c r="G7" s="12" t="n">
        <f aca="false">SUMIFS('Data Lembur (Detail)'!$P$5:$P$10,'Data Lembur (Detail)'!$C$5:$C$10,B7,'Data Lembur (Detail)'!$L$5:$L$10,"Sudah Di-review",'Data Lembur (Detail)'!$M$5:$M$10,"Libur")</f>
        <v>464000</v>
      </c>
      <c r="H7" s="16" t="n">
        <f aca="false">F7+G7</f>
        <v>464000</v>
      </c>
    </row>
    <row r="8" customFormat="false" ht="15" hidden="false" customHeight="false" outlineLevel="0" collapsed="false">
      <c r="A8" s="8" t="n">
        <v>4</v>
      </c>
      <c r="B8" s="8" t="s">
        <v>15</v>
      </c>
      <c r="C8" s="8" t="str">
        <f aca="false">INDEX('Master Karyawan'!$B:$B,MATCH(B8,'Master Karyawan'!$A:$A,0))</f>
        <v>Budi Santoso</v>
      </c>
      <c r="D8" s="11" t="n">
        <f aca="false">SUMIFS('Data Lembur (Detail)'!$J$5:$J$10,'Data Lembur (Detail)'!$C$5:$C$10,B8,'Data Lembur (Detail)'!$L$5:$L$10,"Sudah Di-review",'Data Lembur (Detail)'!$M$5:$M$10,"Normal")</f>
        <v>0</v>
      </c>
      <c r="E8" s="11" t="n">
        <f aca="false">SUMIFS('Data Lembur (Detail)'!$J$5:$J$10,'Data Lembur (Detail)'!$C$5:$C$10,B8,'Data Lembur (Detail)'!$L$5:$L$10,"Sudah Di-review",'Data Lembur (Detail)'!$M$5:$M$10,"Libur")</f>
        <v>0</v>
      </c>
      <c r="F8" s="12" t="n">
        <f aca="false">SUMIFS('Data Lembur (Detail)'!$P$5:$P$10,'Data Lembur (Detail)'!$C$5:$C$10,B8,'Data Lembur (Detail)'!$L$5:$L$10,"Sudah Di-review",'Data Lembur (Detail)'!$M$5:$M$10,"Normal")</f>
        <v>0</v>
      </c>
      <c r="G8" s="12" t="n">
        <f aca="false">SUMIFS('Data Lembur (Detail)'!$P$5:$P$10,'Data Lembur (Detail)'!$C$5:$C$10,B8,'Data Lembur (Detail)'!$L$5:$L$10,"Sudah Di-review",'Data Lembur (Detail)'!$M$5:$M$10,"Libur")</f>
        <v>0</v>
      </c>
      <c r="H8" s="16" t="n">
        <f aca="false">F8+G8</f>
        <v>0</v>
      </c>
    </row>
    <row r="9" customFormat="false" ht="15" hidden="false" customHeight="false" outlineLevel="0" collapsed="false">
      <c r="A9" s="8" t="n">
        <v>5</v>
      </c>
      <c r="B9" s="8" t="s">
        <v>19</v>
      </c>
      <c r="C9" s="8" t="str">
        <f aca="false">INDEX('Master Karyawan'!$B:$B,MATCH(B9,'Master Karyawan'!$A:$A,0))</f>
        <v>Siti Rahma</v>
      </c>
      <c r="D9" s="11" t="n">
        <f aca="false">SUMIFS('Data Lembur (Detail)'!$J$5:$J$10,'Data Lembur (Detail)'!$C$5:$C$10,B9,'Data Lembur (Detail)'!$L$5:$L$10,"Sudah Di-review",'Data Lembur (Detail)'!$M$5:$M$10,"Normal")</f>
        <v>0</v>
      </c>
      <c r="E9" s="11" t="n">
        <f aca="false">SUMIFS('Data Lembur (Detail)'!$J$5:$J$10,'Data Lembur (Detail)'!$C$5:$C$10,B9,'Data Lembur (Detail)'!$L$5:$L$10,"Sudah Di-review",'Data Lembur (Detail)'!$M$5:$M$10,"Libur")</f>
        <v>5.25</v>
      </c>
      <c r="F9" s="12" t="n">
        <f aca="false">SUMIFS('Data Lembur (Detail)'!$P$5:$P$10,'Data Lembur (Detail)'!$C$5:$C$10,B9,'Data Lembur (Detail)'!$L$5:$L$10,"Sudah Di-review",'Data Lembur (Detail)'!$M$5:$M$10,"Normal")</f>
        <v>0</v>
      </c>
      <c r="G9" s="12" t="n">
        <f aca="false">SUMIFS('Data Lembur (Detail)'!$P$5:$P$10,'Data Lembur (Detail)'!$C$5:$C$10,B9,'Data Lembur (Detail)'!$L$5:$L$10,"Sudah Di-review",'Data Lembur (Detail)'!$M$5:$M$10,"Libur")</f>
        <v>724500</v>
      </c>
      <c r="H9" s="16" t="n">
        <f aca="false">F9+G9</f>
        <v>724500</v>
      </c>
    </row>
    <row r="11" customFormat="false" ht="15" hidden="false" customHeight="false" outlineLevel="0" collapsed="false">
      <c r="A11" s="17"/>
      <c r="B11" s="17"/>
      <c r="C11" s="18" t="s">
        <v>67</v>
      </c>
      <c r="D11" s="19" t="n">
        <f aca="false">SUM(D5:D9)</f>
        <v>6</v>
      </c>
      <c r="E11" s="19" t="n">
        <f aca="false">SUM(E5:E9)</f>
        <v>9.25</v>
      </c>
      <c r="F11" s="20" t="n">
        <f aca="false">SUM(F5:F9)</f>
        <v>571500</v>
      </c>
      <c r="G11" s="20" t="n">
        <f aca="false">SUM(G5:G9)</f>
        <v>1188500</v>
      </c>
      <c r="H11" s="20" t="n">
        <f aca="false">SUM(H5:H9)</f>
        <v>1760000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2026-08-20T07:26:40Z</dcterms:created>
  <dc:creator>openpyxl</dc:creator>
  <dc:description/>
  <dc:language>en-US</dc:language>
  <cp:lastModifiedBy/>
  <dcterms:modified xsi:type="dcterms:W3CDTF">2026-08-20T07:26:40Z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